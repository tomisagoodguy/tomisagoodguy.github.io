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ject\"/>
    </mc:Choice>
  </mc:AlternateContent>
  <xr:revisionPtr revIDLastSave="0" documentId="13_ncr:1_{D742E641-4217-4BBA-A3F5-FE5BAE1DB51E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地價稅比較表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" l="1"/>
  <c r="D31" i="1"/>
  <c r="D30" i="1"/>
  <c r="C30" i="1"/>
  <c r="F30" i="1" s="1"/>
  <c r="J24" i="1"/>
  <c r="H24" i="1" s="1"/>
  <c r="J23" i="1"/>
  <c r="H23" i="1" s="1"/>
  <c r="J22" i="1"/>
  <c r="H22" i="1" s="1"/>
  <c r="J21" i="1"/>
  <c r="H21" i="1" s="1"/>
  <c r="J20" i="1"/>
  <c r="H20" i="1"/>
  <c r="G20" i="1"/>
  <c r="J19" i="1"/>
  <c r="G19" i="1" s="1"/>
  <c r="J18" i="1"/>
  <c r="H18" i="1" s="1"/>
  <c r="J17" i="1"/>
  <c r="H17" i="1" s="1"/>
  <c r="G17" i="1"/>
  <c r="J16" i="1"/>
  <c r="H16" i="1" s="1"/>
  <c r="J15" i="1"/>
  <c r="G15" i="1" s="1"/>
  <c r="J14" i="1"/>
  <c r="G14" i="1" s="1"/>
  <c r="J13" i="1"/>
  <c r="H13" i="1" s="1"/>
  <c r="J12" i="1"/>
  <c r="H12" i="1" s="1"/>
  <c r="J11" i="1"/>
  <c r="H11" i="1" s="1"/>
  <c r="J10" i="1"/>
  <c r="H10" i="1" s="1"/>
  <c r="P9" i="1"/>
  <c r="N9" i="1"/>
  <c r="J9" i="1"/>
  <c r="H9" i="1" s="1"/>
  <c r="P8" i="1"/>
  <c r="N8" i="1"/>
  <c r="J8" i="1"/>
  <c r="H8" i="1" s="1"/>
  <c r="C32" i="1" s="1"/>
  <c r="F32" i="1" s="1"/>
  <c r="P7" i="1"/>
  <c r="N7" i="1"/>
  <c r="J7" i="1"/>
  <c r="H7" i="1" s="1"/>
  <c r="P6" i="1"/>
  <c r="N6" i="1"/>
  <c r="J6" i="1"/>
  <c r="H6" i="1" s="1"/>
  <c r="P5" i="1"/>
  <c r="N5" i="1"/>
  <c r="J5" i="1"/>
  <c r="H5" i="1" s="1"/>
  <c r="C31" i="1" s="1"/>
  <c r="F31" i="1" s="1"/>
  <c r="P4" i="1"/>
  <c r="N4" i="1"/>
  <c r="H15" i="1" l="1"/>
  <c r="G16" i="1"/>
  <c r="H19" i="1"/>
  <c r="G11" i="1"/>
  <c r="G12" i="1"/>
  <c r="G13" i="1"/>
  <c r="G9" i="1"/>
  <c r="G23" i="1"/>
  <c r="G24" i="1"/>
  <c r="G8" i="1"/>
  <c r="B32" i="1" s="1"/>
  <c r="E32" i="1" s="1"/>
  <c r="G32" i="1" s="1"/>
  <c r="H32" i="1" s="1"/>
  <c r="G7" i="1"/>
  <c r="B30" i="1" s="1"/>
  <c r="E30" i="1" s="1"/>
  <c r="G30" i="1" s="1"/>
  <c r="H30" i="1" s="1"/>
  <c r="G6" i="1"/>
  <c r="G5" i="1"/>
  <c r="B31" i="1" s="1"/>
  <c r="E31" i="1" s="1"/>
  <c r="G22" i="1"/>
  <c r="H14" i="1"/>
  <c r="C33" i="1" s="1"/>
  <c r="F33" i="1" s="1"/>
  <c r="F35" i="1" s="1"/>
  <c r="G21" i="1"/>
  <c r="G10" i="1"/>
  <c r="G18" i="1"/>
  <c r="B33" i="1" l="1"/>
  <c r="E33" i="1" s="1"/>
  <c r="G33" i="1" s="1"/>
  <c r="H33" i="1" s="1"/>
  <c r="G31" i="1"/>
  <c r="H31" i="1" s="1"/>
  <c r="E35" i="1" l="1"/>
  <c r="G35" i="1" s="1"/>
</calcChain>
</file>

<file path=xl/sharedStrings.xml><?xml version="1.0" encoding="utf-8"?>
<sst xmlns="http://schemas.openxmlformats.org/spreadsheetml/2006/main" count="58" uniqueCount="34">
  <si>
    <t>地價稅新舊對照計算機</t>
  </si>
  <si>
    <t>【稅率參數與查表區】</t>
  </si>
  <si>
    <t>累進起點地價（P）</t>
  </si>
  <si>
    <t>【土地明細輸入 - 支援 20 筆】</t>
  </si>
  <si>
    <t>地號／說明</t>
  </si>
  <si>
    <t>前次地價</t>
  </si>
  <si>
    <t>本次地價</t>
  </si>
  <si>
    <t>面積</t>
  </si>
  <si>
    <t>權利範圍</t>
  </si>
  <si>
    <t>土地類型</t>
  </si>
  <si>
    <t>前次課稅值</t>
  </si>
  <si>
    <t>本次課稅值</t>
  </si>
  <si>
    <t>備註</t>
  </si>
  <si>
    <t>第 1 級門檻</t>
  </si>
  <si>
    <t>第 2 級門檻</t>
  </si>
  <si>
    <t>第 3 級門檻</t>
  </si>
  <si>
    <t>第 4 級門檻</t>
  </si>
  <si>
    <t>第 5 級門檻</t>
  </si>
  <si>
    <t>第 6 級門檻</t>
  </si>
  <si>
    <t>自用住宅用地</t>
  </si>
  <si>
    <t>公共設施保留地</t>
  </si>
  <si>
    <t>工業特殊用地</t>
  </si>
  <si>
    <t>【新舊地價稅額對照表】</t>
  </si>
  <si>
    <t>前次總地價</t>
  </si>
  <si>
    <t>本次總地價</t>
  </si>
  <si>
    <t>稅率/級別</t>
  </si>
  <si>
    <t>前次稅額</t>
  </si>
  <si>
    <t>本次稅額</t>
  </si>
  <si>
    <t>差額</t>
  </si>
  <si>
    <t>增減幅</t>
  </si>
  <si>
    <t>一般土地累進</t>
  </si>
  <si>
    <t>累進計算</t>
  </si>
  <si>
    <t>年度總計地價稅額比較</t>
  </si>
  <si>
    <t>© 2026 陳定康.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</si>
</sst>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‰&quot;"/>
    <numFmt numFmtId="177" formatCode="\+\ #,##0;\-\ #,##0;0"/>
    <numFmt numFmtId="178" formatCode="0.0%"/>
  </numFmts>
  <fonts count="10" x14ac:knownFonts="1">
    <font>
      <sz val="11"/>
      <color theme="1"/>
      <name val="新細明體"/>
      <family val="2"/>
      <scheme val="minor"/>
    </font>
    <font>
      <b/>
      <sz val="10"/>
      <color rgb="FFFFFFFF"/>
      <name val="微軟正黑體"/>
      <family val="2"/>
      <charset val="136"/>
    </font>
    <font>
      <b/>
      <sz val="10"/>
      <color rgb="FF000000"/>
      <name val="微軟正黑體"/>
      <family val="2"/>
      <charset val="136"/>
    </font>
    <font>
      <sz val="10"/>
      <color rgb="FF1F3864"/>
      <name val="微軟正黑體"/>
      <family val="2"/>
      <charset val="136"/>
    </font>
    <font>
      <b/>
      <sz val="16"/>
      <color rgb="FFFFFFFF"/>
      <name val="微軟正黑體"/>
      <family val="2"/>
      <charset val="136"/>
    </font>
    <font>
      <b/>
      <sz val="9"/>
      <color rgb="FF000000"/>
      <name val="微軟正黑體"/>
      <family val="2"/>
      <charset val="136"/>
    </font>
    <font>
      <b/>
      <sz val="12"/>
      <color rgb="FF000000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sz val="14"/>
      <color rgb="FF000000"/>
      <name val="微軟正黑體"/>
      <family val="2"/>
      <charset val="136"/>
    </font>
    <font>
      <sz val="9"/>
      <name val="新細明體"/>
      <family val="3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E75B6"/>
        <bgColor rgb="FF2E75B6"/>
      </patternFill>
    </fill>
    <fill>
      <patternFill patternType="solid">
        <fgColor rgb="FFE7E6E6"/>
        <bgColor rgb="FFE7E6E6"/>
      </patternFill>
    </fill>
    <fill>
      <patternFill patternType="solid">
        <fgColor rgb="FFFFF2CC"/>
        <bgColor rgb="FFFFF2CC"/>
      </patternFill>
    </fill>
    <fill>
      <patternFill patternType="solid">
        <fgColor rgb="FF1F3864"/>
        <bgColor rgb="FF1F3864"/>
      </patternFill>
    </fill>
    <fill>
      <patternFill patternType="solid">
        <fgColor rgb="FFDEEAF1"/>
        <bgColor rgb="FFDEEAF1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3" borderId="1" xfId="0" applyFont="1" applyFill="1" applyBorder="1" applyAlignment="1">
      <alignment horizontal="left" vertical="center" wrapText="1"/>
    </xf>
    <xf numFmtId="3" fontId="3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center" vertical="center" wrapText="1"/>
      <protection locked="0"/>
    </xf>
    <xf numFmtId="49" fontId="0" fillId="4" borderId="1" xfId="0" applyNumberFormat="1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3" fontId="0" fillId="7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left" vertical="center" wrapText="1"/>
    </xf>
    <xf numFmtId="176" fontId="0" fillId="4" borderId="1" xfId="0" applyNumberFormat="1" applyFill="1" applyBorder="1" applyAlignment="1" applyProtection="1">
      <alignment horizontal="center" vertical="center" wrapText="1"/>
      <protection locked="0"/>
    </xf>
    <xf numFmtId="177" fontId="2" fillId="0" borderId="1" xfId="0" applyNumberFormat="1" applyFont="1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 wrapText="1"/>
    </xf>
    <xf numFmtId="177" fontId="8" fillId="8" borderId="1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0" fillId="0" borderId="1" xfId="0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</cellXfs>
  <cellStyles count="1">
    <cellStyle name="一般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11695</xdr:colOff>
      <xdr:row>17</xdr:row>
      <xdr:rowOff>131444</xdr:rowOff>
    </xdr:from>
    <xdr:to>
      <xdr:col>12</xdr:col>
      <xdr:colOff>821055</xdr:colOff>
      <xdr:row>29</xdr:row>
      <xdr:rowOff>17143</xdr:rowOff>
    </xdr:to>
    <xdr:pic macro="[0]!工作表1.ResetCalculator">
      <xdr:nvPicPr>
        <xdr:cNvPr id="3" name="圖片 2">
          <a:extLst>
            <a:ext uri="{FF2B5EF4-FFF2-40B4-BE49-F238E27FC236}">
              <a16:creationId xmlns:a16="http://schemas.microsoft.com/office/drawing/2014/main" id="{FF48B397-D6D5-5F4E-31FC-D23FBD45D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970" y="3369944"/>
          <a:ext cx="2158100" cy="2171699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35"/>
  <sheetViews>
    <sheetView tabSelected="1" workbookViewId="0">
      <selection activeCell="A5" sqref="A5"/>
    </sheetView>
  </sheetViews>
  <sheetFormatPr defaultRowHeight="15" x14ac:dyDescent="0.3"/>
  <cols>
    <col min="1" max="1" width="16.625" customWidth="1"/>
    <col min="2" max="2" width="16.875" customWidth="1"/>
    <col min="3" max="3" width="17" customWidth="1"/>
    <col min="4" max="4" width="13.875" customWidth="1"/>
    <col min="5" max="5" width="18.5" customWidth="1"/>
    <col min="6" max="6" width="18.75" customWidth="1"/>
    <col min="7" max="8" width="14" customWidth="1"/>
    <col min="9" max="9" width="12" customWidth="1"/>
    <col min="10" max="10" width="13" hidden="1" customWidth="1"/>
    <col min="12" max="12" width="22" customWidth="1"/>
    <col min="13" max="13" width="14" customWidth="1"/>
    <col min="14" max="15" width="16" customWidth="1"/>
    <col min="16" max="16" width="13" hidden="1" customWidth="1"/>
  </cols>
  <sheetData>
    <row r="1" spans="1:16" x14ac:dyDescent="0.3">
      <c r="A1" s="21" t="s">
        <v>0</v>
      </c>
      <c r="B1" s="19"/>
      <c r="C1" s="19"/>
      <c r="D1" s="19"/>
      <c r="E1" s="19"/>
      <c r="F1" s="19"/>
      <c r="G1" s="19"/>
      <c r="H1" s="19"/>
      <c r="I1" s="19"/>
      <c r="L1" s="18" t="s">
        <v>1</v>
      </c>
      <c r="M1" s="19"/>
      <c r="N1" s="19"/>
      <c r="O1" s="19"/>
    </row>
    <row r="2" spans="1:16" x14ac:dyDescent="0.3">
      <c r="L2" s="1" t="s">
        <v>2</v>
      </c>
      <c r="M2" s="2">
        <v>42165000</v>
      </c>
    </row>
    <row r="3" spans="1:16" x14ac:dyDescent="0.3">
      <c r="A3" s="18" t="s">
        <v>3</v>
      </c>
      <c r="B3" s="19"/>
      <c r="C3" s="19"/>
      <c r="D3" s="19"/>
      <c r="E3" s="19"/>
      <c r="F3" s="19"/>
      <c r="G3" s="19"/>
      <c r="H3" s="19"/>
      <c r="I3" s="19"/>
    </row>
    <row r="4" spans="1:16" x14ac:dyDescent="0.3">
      <c r="A4" s="3" t="s">
        <v>4</v>
      </c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  <c r="G4" s="3" t="s">
        <v>10</v>
      </c>
      <c r="H4" s="3" t="s">
        <v>11</v>
      </c>
      <c r="I4" s="3" t="s">
        <v>12</v>
      </c>
      <c r="L4" s="4" t="s">
        <v>13</v>
      </c>
      <c r="M4" s="5">
        <v>10</v>
      </c>
      <c r="N4" s="6">
        <f>$M$2*0</f>
        <v>0</v>
      </c>
      <c r="P4">
        <f>$M$2*0</f>
        <v>0</v>
      </c>
    </row>
    <row r="5" spans="1:16" x14ac:dyDescent="0.3">
      <c r="A5" s="7"/>
      <c r="B5" s="7"/>
      <c r="C5" s="7"/>
      <c r="D5" s="7"/>
      <c r="E5" s="8"/>
      <c r="F5" s="9" t="s">
        <v>30</v>
      </c>
      <c r="G5" s="10">
        <f t="shared" ref="G5:G24" si="0">ROUND(B5*D5*J5, 0)</f>
        <v>0</v>
      </c>
      <c r="H5" s="10">
        <f t="shared" ref="H5:H24" si="1">ROUND(C5*D5*J5, 0)</f>
        <v>0</v>
      </c>
      <c r="I5" s="7"/>
      <c r="J5">
        <f t="shared" ref="J5:J24" si="2">IF(E5="", 0, IFERROR(IF(ISNUMBER(FIND("/",E5)), LEFT(E5,FIND("/",E5)-1)/MID(E5,FIND("/",E5)+1,10), VALUE(SUBSTITUTE(E5,"%",""))/IF(ISNUMBER(FIND("%",E5)),100,1)), 0))</f>
        <v>0</v>
      </c>
      <c r="L5" s="4" t="s">
        <v>14</v>
      </c>
      <c r="M5" s="5">
        <v>15</v>
      </c>
      <c r="N5" s="6">
        <f>$M$2*0.005</f>
        <v>210825</v>
      </c>
      <c r="P5">
        <f>$M$2*1</f>
        <v>42165000</v>
      </c>
    </row>
    <row r="6" spans="1:16" x14ac:dyDescent="0.3">
      <c r="A6" s="7"/>
      <c r="B6" s="7"/>
      <c r="C6" s="7"/>
      <c r="D6" s="7"/>
      <c r="E6" s="8"/>
      <c r="F6" s="9" t="s">
        <v>30</v>
      </c>
      <c r="G6" s="10">
        <f t="shared" si="0"/>
        <v>0</v>
      </c>
      <c r="H6" s="10">
        <f t="shared" si="1"/>
        <v>0</v>
      </c>
      <c r="I6" s="7"/>
      <c r="J6">
        <f t="shared" si="2"/>
        <v>0</v>
      </c>
      <c r="L6" s="4" t="s">
        <v>15</v>
      </c>
      <c r="M6" s="5">
        <v>25</v>
      </c>
      <c r="N6" s="6">
        <f>$M$2*0.065</f>
        <v>2740725</v>
      </c>
      <c r="P6">
        <f>$M$2*6</f>
        <v>252990000</v>
      </c>
    </row>
    <row r="7" spans="1:16" x14ac:dyDescent="0.3">
      <c r="A7" s="7"/>
      <c r="B7" s="7"/>
      <c r="C7" s="7"/>
      <c r="D7" s="7"/>
      <c r="E7" s="8"/>
      <c r="F7" s="9" t="s">
        <v>30</v>
      </c>
      <c r="G7" s="10">
        <f t="shared" si="0"/>
        <v>0</v>
      </c>
      <c r="H7" s="10">
        <f t="shared" si="1"/>
        <v>0</v>
      </c>
      <c r="I7" s="7"/>
      <c r="J7">
        <f t="shared" si="2"/>
        <v>0</v>
      </c>
      <c r="L7" s="4" t="s">
        <v>16</v>
      </c>
      <c r="M7" s="5">
        <v>35</v>
      </c>
      <c r="N7" s="6">
        <f>$M$2*0.175</f>
        <v>7378874.9999999991</v>
      </c>
      <c r="P7">
        <f>$M$2*11</f>
        <v>463815000</v>
      </c>
    </row>
    <row r="8" spans="1:16" x14ac:dyDescent="0.3">
      <c r="A8" s="7"/>
      <c r="B8" s="7"/>
      <c r="C8" s="7"/>
      <c r="D8" s="7"/>
      <c r="E8" s="8"/>
      <c r="F8" s="9" t="s">
        <v>30</v>
      </c>
      <c r="G8" s="10">
        <f t="shared" si="0"/>
        <v>0</v>
      </c>
      <c r="H8" s="10">
        <f t="shared" si="1"/>
        <v>0</v>
      </c>
      <c r="I8" s="7"/>
      <c r="J8">
        <f t="shared" si="2"/>
        <v>0</v>
      </c>
      <c r="L8" s="4" t="s">
        <v>17</v>
      </c>
      <c r="M8" s="5">
        <v>45</v>
      </c>
      <c r="N8" s="6">
        <f>$M$2*0.335</f>
        <v>14125275</v>
      </c>
      <c r="P8">
        <f>$M$2*16</f>
        <v>674640000</v>
      </c>
    </row>
    <row r="9" spans="1:16" x14ac:dyDescent="0.3">
      <c r="A9" s="7"/>
      <c r="B9" s="7"/>
      <c r="C9" s="7"/>
      <c r="D9" s="7"/>
      <c r="E9" s="8"/>
      <c r="F9" s="9" t="s">
        <v>30</v>
      </c>
      <c r="G9" s="10">
        <f t="shared" si="0"/>
        <v>0</v>
      </c>
      <c r="H9" s="10">
        <f t="shared" si="1"/>
        <v>0</v>
      </c>
      <c r="I9" s="7"/>
      <c r="J9">
        <f t="shared" si="2"/>
        <v>0</v>
      </c>
      <c r="L9" s="4" t="s">
        <v>18</v>
      </c>
      <c r="M9" s="5">
        <v>55</v>
      </c>
      <c r="N9" s="6">
        <f>$M$2*0.545</f>
        <v>22979925</v>
      </c>
      <c r="P9">
        <f>$M$2*21</f>
        <v>885465000</v>
      </c>
    </row>
    <row r="10" spans="1:16" x14ac:dyDescent="0.3">
      <c r="A10" s="7"/>
      <c r="B10" s="7"/>
      <c r="C10" s="7"/>
      <c r="D10" s="7"/>
      <c r="E10" s="8"/>
      <c r="F10" s="9" t="s">
        <v>30</v>
      </c>
      <c r="G10" s="10">
        <f t="shared" si="0"/>
        <v>0</v>
      </c>
      <c r="H10" s="10">
        <f t="shared" si="1"/>
        <v>0</v>
      </c>
      <c r="I10" s="7"/>
      <c r="J10">
        <f t="shared" si="2"/>
        <v>0</v>
      </c>
    </row>
    <row r="11" spans="1:16" x14ac:dyDescent="0.3">
      <c r="A11" s="7"/>
      <c r="B11" s="7"/>
      <c r="C11" s="7"/>
      <c r="D11" s="7"/>
      <c r="E11" s="8"/>
      <c r="F11" s="9" t="s">
        <v>30</v>
      </c>
      <c r="G11" s="10">
        <f t="shared" si="0"/>
        <v>0</v>
      </c>
      <c r="H11" s="10">
        <f t="shared" si="1"/>
        <v>0</v>
      </c>
      <c r="I11" s="7"/>
      <c r="J11">
        <f t="shared" si="2"/>
        <v>0</v>
      </c>
      <c r="L11" s="11" t="s">
        <v>19</v>
      </c>
      <c r="M11" s="12">
        <v>2</v>
      </c>
    </row>
    <row r="12" spans="1:16" x14ac:dyDescent="0.3">
      <c r="A12" s="7"/>
      <c r="B12" s="7"/>
      <c r="C12" s="7"/>
      <c r="D12" s="7"/>
      <c r="E12" s="8"/>
      <c r="F12" s="9" t="s">
        <v>30</v>
      </c>
      <c r="G12" s="10">
        <f t="shared" si="0"/>
        <v>0</v>
      </c>
      <c r="H12" s="10">
        <f t="shared" si="1"/>
        <v>0</v>
      </c>
      <c r="I12" s="7"/>
      <c r="J12">
        <f t="shared" si="2"/>
        <v>0</v>
      </c>
      <c r="L12" s="11" t="s">
        <v>20</v>
      </c>
      <c r="M12" s="12">
        <v>6</v>
      </c>
    </row>
    <row r="13" spans="1:16" x14ac:dyDescent="0.3">
      <c r="A13" s="7"/>
      <c r="B13" s="7"/>
      <c r="C13" s="7"/>
      <c r="D13" s="7"/>
      <c r="E13" s="8"/>
      <c r="F13" s="9" t="s">
        <v>30</v>
      </c>
      <c r="G13" s="10">
        <f t="shared" si="0"/>
        <v>0</v>
      </c>
      <c r="H13" s="10">
        <f t="shared" si="1"/>
        <v>0</v>
      </c>
      <c r="I13" s="7"/>
      <c r="J13">
        <f t="shared" si="2"/>
        <v>0</v>
      </c>
      <c r="L13" s="11" t="s">
        <v>21</v>
      </c>
      <c r="M13" s="12">
        <v>10</v>
      </c>
    </row>
    <row r="14" spans="1:16" x14ac:dyDescent="0.3">
      <c r="A14" s="7"/>
      <c r="B14" s="7"/>
      <c r="C14" s="7"/>
      <c r="D14" s="7"/>
      <c r="E14" s="8"/>
      <c r="F14" s="9" t="s">
        <v>30</v>
      </c>
      <c r="G14" s="10">
        <f t="shared" si="0"/>
        <v>0</v>
      </c>
      <c r="H14" s="10">
        <f t="shared" si="1"/>
        <v>0</v>
      </c>
      <c r="I14" s="7"/>
      <c r="J14">
        <f t="shared" si="2"/>
        <v>0</v>
      </c>
    </row>
    <row r="15" spans="1:16" x14ac:dyDescent="0.3">
      <c r="A15" s="7"/>
      <c r="B15" s="7"/>
      <c r="C15" s="7"/>
      <c r="D15" s="7"/>
      <c r="E15" s="8"/>
      <c r="F15" s="9" t="s">
        <v>30</v>
      </c>
      <c r="G15" s="10">
        <f t="shared" si="0"/>
        <v>0</v>
      </c>
      <c r="H15" s="10">
        <f t="shared" si="1"/>
        <v>0</v>
      </c>
      <c r="I15" s="7"/>
      <c r="J15">
        <f t="shared" si="2"/>
        <v>0</v>
      </c>
    </row>
    <row r="16" spans="1:16" x14ac:dyDescent="0.3">
      <c r="A16" s="7"/>
      <c r="B16" s="7"/>
      <c r="C16" s="7"/>
      <c r="D16" s="7"/>
      <c r="E16" s="8"/>
      <c r="F16" s="9" t="s">
        <v>30</v>
      </c>
      <c r="G16" s="10">
        <f t="shared" si="0"/>
        <v>0</v>
      </c>
      <c r="H16" s="10">
        <f t="shared" si="1"/>
        <v>0</v>
      </c>
      <c r="I16" s="7"/>
      <c r="J16">
        <f t="shared" si="2"/>
        <v>0</v>
      </c>
    </row>
    <row r="17" spans="1:12" x14ac:dyDescent="0.3">
      <c r="A17" s="7"/>
      <c r="B17" s="7"/>
      <c r="C17" s="7"/>
      <c r="D17" s="7"/>
      <c r="E17" s="8"/>
      <c r="F17" s="9" t="s">
        <v>30</v>
      </c>
      <c r="G17" s="10">
        <f t="shared" si="0"/>
        <v>0</v>
      </c>
      <c r="H17" s="10">
        <f t="shared" si="1"/>
        <v>0</v>
      </c>
      <c r="I17" s="7"/>
      <c r="J17">
        <f t="shared" si="2"/>
        <v>0</v>
      </c>
    </row>
    <row r="18" spans="1:12" x14ac:dyDescent="0.3">
      <c r="A18" s="7"/>
      <c r="B18" s="7"/>
      <c r="C18" s="7"/>
      <c r="D18" s="7"/>
      <c r="E18" s="8"/>
      <c r="F18" s="9" t="s">
        <v>30</v>
      </c>
      <c r="G18" s="10">
        <f t="shared" si="0"/>
        <v>0</v>
      </c>
      <c r="H18" s="10">
        <f t="shared" si="1"/>
        <v>0</v>
      </c>
      <c r="I18" s="7"/>
      <c r="J18">
        <f t="shared" si="2"/>
        <v>0</v>
      </c>
    </row>
    <row r="19" spans="1:12" x14ac:dyDescent="0.3">
      <c r="A19" s="7"/>
      <c r="B19" s="7"/>
      <c r="C19" s="7"/>
      <c r="D19" s="7"/>
      <c r="E19" s="8"/>
      <c r="F19" s="9" t="s">
        <v>30</v>
      </c>
      <c r="G19" s="10">
        <f t="shared" si="0"/>
        <v>0</v>
      </c>
      <c r="H19" s="10">
        <f t="shared" si="1"/>
        <v>0</v>
      </c>
      <c r="I19" s="7"/>
      <c r="J19">
        <f t="shared" si="2"/>
        <v>0</v>
      </c>
    </row>
    <row r="20" spans="1:12" x14ac:dyDescent="0.3">
      <c r="A20" s="7"/>
      <c r="B20" s="7"/>
      <c r="C20" s="7"/>
      <c r="D20" s="7"/>
      <c r="E20" s="8"/>
      <c r="F20" s="9" t="s">
        <v>30</v>
      </c>
      <c r="G20" s="10">
        <f t="shared" si="0"/>
        <v>0</v>
      </c>
      <c r="H20" s="10">
        <f t="shared" si="1"/>
        <v>0</v>
      </c>
      <c r="I20" s="7"/>
      <c r="J20">
        <f t="shared" si="2"/>
        <v>0</v>
      </c>
    </row>
    <row r="21" spans="1:12" x14ac:dyDescent="0.3">
      <c r="A21" s="7"/>
      <c r="B21" s="7"/>
      <c r="C21" s="7"/>
      <c r="D21" s="7"/>
      <c r="E21" s="8"/>
      <c r="F21" s="9" t="s">
        <v>30</v>
      </c>
      <c r="G21" s="10">
        <f t="shared" si="0"/>
        <v>0</v>
      </c>
      <c r="H21" s="10">
        <f t="shared" si="1"/>
        <v>0</v>
      </c>
      <c r="I21" s="7"/>
      <c r="J21">
        <f t="shared" si="2"/>
        <v>0</v>
      </c>
    </row>
    <row r="22" spans="1:12" x14ac:dyDescent="0.3">
      <c r="A22" s="7"/>
      <c r="B22" s="7"/>
      <c r="C22" s="7"/>
      <c r="D22" s="7"/>
      <c r="E22" s="8"/>
      <c r="F22" s="9" t="s">
        <v>30</v>
      </c>
      <c r="G22" s="10">
        <f t="shared" si="0"/>
        <v>0</v>
      </c>
      <c r="H22" s="10">
        <f t="shared" si="1"/>
        <v>0</v>
      </c>
      <c r="I22" s="7"/>
      <c r="J22">
        <f t="shared" si="2"/>
        <v>0</v>
      </c>
    </row>
    <row r="23" spans="1:12" x14ac:dyDescent="0.3">
      <c r="A23" s="7"/>
      <c r="B23" s="7"/>
      <c r="C23" s="7"/>
      <c r="D23" s="7"/>
      <c r="E23" s="8"/>
      <c r="F23" s="9" t="s">
        <v>30</v>
      </c>
      <c r="G23" s="10">
        <f t="shared" si="0"/>
        <v>0</v>
      </c>
      <c r="H23" s="10">
        <f t="shared" si="1"/>
        <v>0</v>
      </c>
      <c r="I23" s="7"/>
      <c r="J23">
        <f t="shared" si="2"/>
        <v>0</v>
      </c>
    </row>
    <row r="24" spans="1:12" x14ac:dyDescent="0.3">
      <c r="A24" s="7"/>
      <c r="B24" s="7"/>
      <c r="C24" s="7"/>
      <c r="D24" s="7"/>
      <c r="E24" s="8"/>
      <c r="F24" s="9" t="s">
        <v>30</v>
      </c>
      <c r="G24" s="10">
        <f t="shared" si="0"/>
        <v>0</v>
      </c>
      <c r="H24" s="10">
        <f t="shared" si="1"/>
        <v>0</v>
      </c>
      <c r="I24" s="7"/>
      <c r="J24">
        <f t="shared" si="2"/>
        <v>0</v>
      </c>
    </row>
    <row r="28" spans="1:12" x14ac:dyDescent="0.3">
      <c r="A28" s="18" t="s">
        <v>22</v>
      </c>
      <c r="B28" s="19"/>
      <c r="C28" s="19"/>
      <c r="D28" s="19"/>
      <c r="E28" s="19"/>
      <c r="F28" s="19"/>
      <c r="G28" s="19"/>
      <c r="H28" s="19"/>
      <c r="I28" s="19"/>
    </row>
    <row r="29" spans="1:12" x14ac:dyDescent="0.3">
      <c r="A29" s="3" t="s">
        <v>9</v>
      </c>
      <c r="B29" s="3" t="s">
        <v>23</v>
      </c>
      <c r="C29" s="3" t="s">
        <v>24</v>
      </c>
      <c r="D29" s="3" t="s">
        <v>25</v>
      </c>
      <c r="E29" s="3" t="s">
        <v>26</v>
      </c>
      <c r="F29" s="3" t="s">
        <v>27</v>
      </c>
      <c r="G29" s="3" t="s">
        <v>28</v>
      </c>
      <c r="H29" s="3" t="s">
        <v>29</v>
      </c>
    </row>
    <row r="30" spans="1:12" x14ac:dyDescent="0.3">
      <c r="A30" s="11" t="s">
        <v>19</v>
      </c>
      <c r="B30" s="6">
        <f>SUMIFS(G$5:G$24, F$5:F$24, A30)</f>
        <v>0</v>
      </c>
      <c r="C30" s="6">
        <f>SUMIFS(H$5:H$24, F$5:F$24, A30)</f>
        <v>0</v>
      </c>
      <c r="D30">
        <f>M11</f>
        <v>2</v>
      </c>
      <c r="E30" s="6">
        <f>ROUND(B30*D30/1000, 0)</f>
        <v>0</v>
      </c>
      <c r="F30" s="6">
        <f>ROUND(C30*D30/1000, 0)</f>
        <v>0</v>
      </c>
      <c r="G30" s="13">
        <f>F30-E30</f>
        <v>0</v>
      </c>
      <c r="H30" s="14">
        <f>IFERROR(G30/E30, 0)</f>
        <v>0</v>
      </c>
    </row>
    <row r="31" spans="1:12" x14ac:dyDescent="0.3">
      <c r="A31" s="11" t="s">
        <v>20</v>
      </c>
      <c r="B31" s="6">
        <f>SUMIFS(G$5:G$24, F$5:F$24, A31)</f>
        <v>0</v>
      </c>
      <c r="C31" s="6">
        <f>SUMIFS(H$5:H$24, F$5:F$24, A31)</f>
        <v>0</v>
      </c>
      <c r="D31">
        <f>M12</f>
        <v>6</v>
      </c>
      <c r="E31" s="6">
        <f>ROUND(B31*D31/1000, 0)</f>
        <v>0</v>
      </c>
      <c r="F31" s="6">
        <f>ROUND(C31*D31/1000, 0)</f>
        <v>0</v>
      </c>
      <c r="G31" s="13">
        <f>F31-E31</f>
        <v>0</v>
      </c>
      <c r="H31" s="14">
        <f>IFERROR(G31/E31, 0)</f>
        <v>0</v>
      </c>
      <c r="L31" t="s">
        <v>33</v>
      </c>
    </row>
    <row r="32" spans="1:12" x14ac:dyDescent="0.3">
      <c r="A32" s="11" t="s">
        <v>21</v>
      </c>
      <c r="B32" s="6">
        <f>SUMIFS(G$5:G$24, F$5:F$24, A32)</f>
        <v>0</v>
      </c>
      <c r="C32" s="6">
        <f>SUMIFS(H$5:H$24, F$5:F$24, A32)</f>
        <v>0</v>
      </c>
      <c r="D32">
        <f>M13</f>
        <v>10</v>
      </c>
      <c r="E32" s="6">
        <f>ROUND(B32*D32/1000, 0)</f>
        <v>0</v>
      </c>
      <c r="F32" s="6">
        <f>ROUND(C32*D32/1000, 0)</f>
        <v>0</v>
      </c>
      <c r="G32" s="13">
        <f>F32-E32</f>
        <v>0</v>
      </c>
      <c r="H32" s="14">
        <f>IFERROR(G32/E32, 0)</f>
        <v>0</v>
      </c>
    </row>
    <row r="33" spans="1:8" x14ac:dyDescent="0.3">
      <c r="A33" s="11" t="s">
        <v>30</v>
      </c>
      <c r="B33" s="6">
        <f>SUMIFS(G$5:G$24, F$5:F$24, A33)</f>
        <v>0</v>
      </c>
      <c r="C33" s="6">
        <f>SUMIFS(H$5:H$24, F$5:F$24, A33)</f>
        <v>0</v>
      </c>
      <c r="D33" t="s">
        <v>31</v>
      </c>
      <c r="E33" s="6">
        <f>IF(B33&lt;=0, 0, ROUND((B33*LOOKUP(B33, $P$4:$P$9, $M$4:$M$9)/1000) - LOOKUP(B33, $P$4:$P$9, $N$4:$N$9), 0))</f>
        <v>0</v>
      </c>
      <c r="F33" s="6">
        <f>IF(C33&lt;=0, 0, ROUND((C33*LOOKUP(C33, $P$4:$P$9, $M$4:$M$9)/1000) - LOOKUP(C33, $P$4:$P$9, $N$4:$N$9), 0))</f>
        <v>0</v>
      </c>
      <c r="G33" s="13">
        <f>F33-E33</f>
        <v>0</v>
      </c>
      <c r="H33" s="14">
        <f>IFERROR(G33/E33, 0)</f>
        <v>0</v>
      </c>
    </row>
    <row r="35" spans="1:8" ht="18" x14ac:dyDescent="0.3">
      <c r="A35" s="20" t="s">
        <v>32</v>
      </c>
      <c r="B35" s="19"/>
      <c r="C35" s="19"/>
      <c r="D35" s="19"/>
      <c r="E35" s="15">
        <f>SUM(E30:E33)</f>
        <v>0</v>
      </c>
      <c r="F35" s="16">
        <f>SUM(F30:F33)</f>
        <v>0</v>
      </c>
      <c r="G35" s="17">
        <f>F35-E35</f>
        <v>0</v>
      </c>
    </row>
  </sheetData>
  <sheetProtection algorithmName="SHA-512" hashValue="Q4YlxtZePT3aYF88haqyB71RfwevsXUhHZo9zT3f9eLDclMDV4qJfcmqwabqo26hC+EJW7D7q/GC7/4fo6wGBg==" saltValue="X492bAFcd3FWFsAI7XTmXQ==" spinCount="100000" sheet="1" objects="1" scenarios="1" selectLockedCells="1" autoFilter="0"/>
  <mergeCells count="5">
    <mergeCell ref="A28:I28"/>
    <mergeCell ref="A35:D35"/>
    <mergeCell ref="A1:I1"/>
    <mergeCell ref="A3:I3"/>
    <mergeCell ref="L1:O1"/>
  </mergeCells>
  <phoneticPr fontId="9" type="noConversion"/>
  <conditionalFormatting sqref="G30:G3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qref="F5:F24" xr:uid="{00000000-0002-0000-0000-000000000000}">
      <formula1>"自用住宅用地,公共設施保留地,工業特殊用地,一般土地累進"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地價稅比較表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znom</cp:lastModifiedBy>
  <dcterms:created xsi:type="dcterms:W3CDTF">2026-03-27T14:04:49Z</dcterms:created>
  <dcterms:modified xsi:type="dcterms:W3CDTF">2026-03-27T14:28:51Z</dcterms:modified>
</cp:coreProperties>
</file>