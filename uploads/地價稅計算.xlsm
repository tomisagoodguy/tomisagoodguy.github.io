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project\"/>
    </mc:Choice>
  </mc:AlternateContent>
  <xr:revisionPtr revIDLastSave="0" documentId="13_ncr:1_{75D07C4B-132C-4979-98EF-5E7E09A176CB}" xr6:coauthVersionLast="47" xr6:coauthVersionMax="47" xr10:uidLastSave="{00000000-0000-0000-0000-000000000000}"/>
  <bookViews>
    <workbookView xWindow="21480" yWindow="-120" windowWidth="29040" windowHeight="15720" xr2:uid="{00000000-000D-0000-FFFF-FFFF00000000}"/>
  </bookViews>
  <sheets>
    <sheet name="地價稅計算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1" i="1" l="1"/>
  <c r="K30" i="1"/>
  <c r="K29" i="1"/>
  <c r="K28" i="1"/>
  <c r="K27" i="1"/>
  <c r="K26" i="1"/>
  <c r="L25" i="1"/>
  <c r="M25" i="1" s="1"/>
  <c r="K25" i="1"/>
  <c r="C25" i="1"/>
  <c r="L24" i="1"/>
  <c r="M24" i="1" s="1"/>
  <c r="K24" i="1"/>
  <c r="C24" i="1"/>
  <c r="B24" i="1"/>
  <c r="K23" i="1"/>
  <c r="C23" i="1"/>
  <c r="B23" i="1"/>
  <c r="D23" i="1" s="1"/>
  <c r="K22" i="1"/>
  <c r="K21" i="1"/>
  <c r="K20" i="1"/>
  <c r="K19" i="1"/>
  <c r="H19" i="1"/>
  <c r="F19" i="1" s="1"/>
  <c r="L31" i="1" s="1"/>
  <c r="M31" i="1" s="1"/>
  <c r="K18" i="1"/>
  <c r="H18" i="1"/>
  <c r="F18" i="1" s="1"/>
  <c r="L30" i="1" s="1"/>
  <c r="M30" i="1" s="1"/>
  <c r="K17" i="1"/>
  <c r="H17" i="1"/>
  <c r="F17" i="1" s="1"/>
  <c r="L29" i="1" s="1"/>
  <c r="M29" i="1" s="1"/>
  <c r="H16" i="1"/>
  <c r="F16" i="1" s="1"/>
  <c r="L28" i="1" s="1"/>
  <c r="M28" i="1" s="1"/>
  <c r="H15" i="1"/>
  <c r="F15" i="1" s="1"/>
  <c r="L27" i="1" s="1"/>
  <c r="M27" i="1" s="1"/>
  <c r="H14" i="1"/>
  <c r="F14" i="1" s="1"/>
  <c r="L26" i="1" s="1"/>
  <c r="M26" i="1" s="1"/>
  <c r="H13" i="1"/>
  <c r="F13" i="1" s="1"/>
  <c r="H12" i="1"/>
  <c r="F12" i="1" s="1"/>
  <c r="H11" i="1"/>
  <c r="F11" i="1" s="1"/>
  <c r="L23" i="1" s="1"/>
  <c r="M23" i="1" s="1"/>
  <c r="H10" i="1"/>
  <c r="F10" i="1" s="1"/>
  <c r="B25" i="1" s="1"/>
  <c r="D25" i="1" s="1"/>
  <c r="M9" i="1"/>
  <c r="H9" i="1"/>
  <c r="F9" i="1" s="1"/>
  <c r="L21" i="1" s="1"/>
  <c r="M21" i="1" s="1"/>
  <c r="M8" i="1"/>
  <c r="H8" i="1"/>
  <c r="F8" i="1" s="1"/>
  <c r="L20" i="1" s="1"/>
  <c r="M20" i="1" s="1"/>
  <c r="M7" i="1"/>
  <c r="H7" i="1"/>
  <c r="F7" i="1" s="1"/>
  <c r="L19" i="1" s="1"/>
  <c r="M19" i="1" s="1"/>
  <c r="M6" i="1"/>
  <c r="H6" i="1"/>
  <c r="F6" i="1" s="1"/>
  <c r="L18" i="1" s="1"/>
  <c r="M18" i="1" s="1"/>
  <c r="M5" i="1"/>
  <c r="H5" i="1"/>
  <c r="F5" i="1" s="1"/>
  <c r="L17" i="1" s="1"/>
  <c r="M4" i="1"/>
  <c r="L22" i="1" l="1"/>
  <c r="M22" i="1" s="1"/>
  <c r="B26" i="1"/>
  <c r="D26" i="1" s="1"/>
  <c r="D24" i="1"/>
  <c r="L32" i="1"/>
  <c r="L33" i="1" s="1"/>
  <c r="M17" i="1"/>
  <c r="C26" i="1" l="1"/>
  <c r="D27" i="1"/>
</calcChain>
</file>

<file path=xl/sharedStrings.xml><?xml version="1.0" encoding="utf-8"?>
<sst xmlns="http://schemas.openxmlformats.org/spreadsheetml/2006/main" count="63" uniqueCount="41">
  <si>
    <t>地價稅計算機</t>
  </si>
  <si>
    <t>【稅率設定參數】</t>
  </si>
  <si>
    <t>累進起點地價 (P)</t>
  </si>
  <si>
    <t>【土地地號資料輸入明細】</t>
  </si>
  <si>
    <t>地號／說明</t>
  </si>
  <si>
    <t>申報地價</t>
  </si>
  <si>
    <t>面積 (m²)</t>
  </si>
  <si>
    <t>土地類型 (下拉選單)</t>
  </si>
  <si>
    <t>課稅地價 (自動)</t>
  </si>
  <si>
    <t>備註</t>
  </si>
  <si>
    <t>累進 第1級</t>
  </si>
  <si>
    <t>≤ P</t>
  </si>
  <si>
    <t>累進 第2級</t>
  </si>
  <si>
    <t>≤ 6P</t>
  </si>
  <si>
    <t>累進 第3級</t>
  </si>
  <si>
    <t>≤ 11P</t>
  </si>
  <si>
    <t>累進 第4級</t>
  </si>
  <si>
    <t>≤ 16P</t>
  </si>
  <si>
    <t>累進 第5級</t>
  </si>
  <si>
    <t>≤ 21P</t>
  </si>
  <si>
    <t>累進 第6級</t>
  </si>
  <si>
    <t>&gt; 21P</t>
  </si>
  <si>
    <t>自用住宅用地</t>
  </si>
  <si>
    <t>固定優惠稅率</t>
  </si>
  <si>
    <t>公共設施保留地</t>
  </si>
  <si>
    <t>工業/特殊用地</t>
  </si>
  <si>
    <t>【階層式：一般土地加總算式檢核】</t>
  </si>
  <si>
    <t>第一層：地號明細</t>
  </si>
  <si>
    <t>課稅地價</t>
  </si>
  <si>
    <t>累進計算狀態</t>
  </si>
  <si>
    <t>【應納稅額統計彙整】</t>
  </si>
  <si>
    <t>依固定稅率計徵</t>
  </si>
  <si>
    <t>一般土地（累進）</t>
  </si>
  <si>
    <t>詳情見右側檢核區算式</t>
  </si>
  <si>
    <t>年度應納稅額合計總額</t>
  </si>
  <si>
    <t>第二層：一般土地小計</t>
  </si>
  <si>
    <t>← 此金額即為下方統計表總額</t>
  </si>
  <si>
    <t>第三層：稅額拆解公式</t>
  </si>
  <si>
    <t>台北市標準</t>
    <phoneticPr fontId="11" type="noConversion"/>
  </si>
  <si>
    <t>© 2026 陳定康.</t>
  </si>
  <si>
    <t>權利範圍 (幾分之幾)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</si>
</sst>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‰&quot;"/>
  </numFmts>
  <fonts count="13" x14ac:knownFonts="1">
    <font>
      <sz val="11"/>
      <color theme="1"/>
      <name val="新細明體"/>
      <family val="2"/>
      <scheme val="minor"/>
    </font>
    <font>
      <b/>
      <sz val="16"/>
      <color rgb="FFFFFFFF"/>
      <name val="微軟正黑體"/>
      <family val="2"/>
      <charset val="136"/>
    </font>
    <font>
      <b/>
      <sz val="10"/>
      <color rgb="FFFFFFFF"/>
      <name val="微軟正黑體"/>
      <family val="2"/>
      <charset val="136"/>
    </font>
    <font>
      <b/>
      <sz val="10"/>
      <color rgb="FF000000"/>
      <name val="微軟正黑體"/>
      <family val="2"/>
      <charset val="136"/>
    </font>
    <font>
      <sz val="10"/>
      <color rgb="FF1F3864"/>
      <name val="微軟正黑體"/>
      <family val="2"/>
      <charset val="136"/>
    </font>
    <font>
      <sz val="8"/>
      <color rgb="FF808080"/>
      <name val="微軟正黑體"/>
      <family val="2"/>
      <charset val="136"/>
    </font>
    <font>
      <b/>
      <sz val="9"/>
      <color rgb="FF000000"/>
      <name val="微軟正黑體"/>
      <family val="2"/>
      <charset val="136"/>
    </font>
    <font>
      <sz val="8"/>
      <color rgb="FF548235"/>
      <name val="微軟正黑體"/>
      <family val="2"/>
      <charset val="136"/>
    </font>
    <font>
      <sz val="9"/>
      <color rgb="FFC00000"/>
      <name val="微軟正黑體"/>
      <family val="2"/>
      <charset val="136"/>
    </font>
    <font>
      <b/>
      <sz val="11"/>
      <color rgb="FF000000"/>
      <name val="微軟正黑體"/>
      <family val="2"/>
      <charset val="136"/>
    </font>
    <font>
      <b/>
      <sz val="12"/>
      <color rgb="FFC00000"/>
      <name val="微軟正黑體"/>
      <family val="2"/>
      <charset val="136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1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3864"/>
        <bgColor rgb="FF1F3864"/>
      </patternFill>
    </fill>
    <fill>
      <patternFill patternType="solid">
        <fgColor rgb="FF2E75B6"/>
        <bgColor rgb="FF2E75B6"/>
      </patternFill>
    </fill>
    <fill>
      <patternFill patternType="solid">
        <fgColor rgb="FFE7E6E6"/>
        <bgColor rgb="FFE7E6E6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548235"/>
        <bgColor rgb="FF548235"/>
      </patternFill>
    </fill>
    <fill>
      <patternFill patternType="solid">
        <fgColor rgb="FFFCE4D6"/>
        <bgColor rgb="FFFCE4D6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3" fillId="4" borderId="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3" fontId="0" fillId="6" borderId="1" xfId="0" applyNumberForma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left" vertical="center" wrapText="1"/>
    </xf>
    <xf numFmtId="0" fontId="0" fillId="5" borderId="1" xfId="0" applyFill="1" applyBorder="1" applyAlignment="1" applyProtection="1">
      <alignment horizontal="center" vertical="center" wrapText="1"/>
      <protection locked="0"/>
    </xf>
    <xf numFmtId="49" fontId="0" fillId="5" borderId="1" xfId="0" applyNumberForma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left" vertical="center" wrapText="1"/>
    </xf>
    <xf numFmtId="176" fontId="0" fillId="6" borderId="1" xfId="0" applyNumberFormat="1" applyFill="1" applyBorder="1" applyAlignment="1">
      <alignment horizontal="center" vertical="center" wrapText="1"/>
    </xf>
    <xf numFmtId="3" fontId="3" fillId="6" borderId="1" xfId="0" applyNumberFormat="1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3" fontId="10" fillId="8" borderId="1" xfId="0" applyNumberFormat="1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0" fillId="0" borderId="5" xfId="0" applyBorder="1"/>
    <xf numFmtId="0" fontId="0" fillId="0" borderId="7" xfId="0" applyBorder="1"/>
    <xf numFmtId="0" fontId="6" fillId="4" borderId="8" xfId="0" applyFont="1" applyFill="1" applyBorder="1" applyAlignment="1">
      <alignment horizontal="center" vertical="center" wrapText="1"/>
    </xf>
    <xf numFmtId="0" fontId="0" fillId="5" borderId="8" xfId="0" applyFill="1" applyBorder="1" applyAlignment="1" applyProtection="1">
      <alignment horizontal="center" vertical="center" wrapText="1"/>
      <protection locked="0"/>
    </xf>
    <xf numFmtId="0" fontId="0" fillId="0" borderId="8" xfId="0" applyBorder="1" applyAlignment="1">
      <alignment horizontal="left" vertical="center" wrapText="1"/>
    </xf>
    <xf numFmtId="0" fontId="0" fillId="0" borderId="10" xfId="0" applyBorder="1"/>
    <xf numFmtId="0" fontId="0" fillId="0" borderId="11" xfId="0" applyBorder="1"/>
    <xf numFmtId="0" fontId="3" fillId="8" borderId="12" xfId="0" applyFont="1" applyFill="1" applyBorder="1" applyAlignment="1">
      <alignment horizontal="left" vertical="center" wrapText="1"/>
    </xf>
    <xf numFmtId="0" fontId="0" fillId="0" borderId="1" xfId="0" applyBorder="1"/>
    <xf numFmtId="3" fontId="4" fillId="5" borderId="14" xfId="0" applyNumberFormat="1" applyFont="1" applyFill="1" applyBorder="1" applyAlignment="1" applyProtection="1">
      <alignment horizontal="center" vertical="center" wrapText="1"/>
      <protection locked="0"/>
    </xf>
    <xf numFmtId="176" fontId="0" fillId="5" borderId="14" xfId="0" applyNumberFormat="1" applyFill="1" applyBorder="1" applyAlignment="1" applyProtection="1">
      <alignment horizontal="center" vertical="center" wrapText="1"/>
      <protection locked="0"/>
    </xf>
    <xf numFmtId="0" fontId="6" fillId="4" borderId="14" xfId="0" applyFont="1" applyFill="1" applyBorder="1" applyAlignment="1">
      <alignment horizontal="center" vertical="center" wrapText="1"/>
    </xf>
    <xf numFmtId="3" fontId="0" fillId="0" borderId="14" xfId="0" applyNumberFormat="1" applyBorder="1" applyAlignment="1">
      <alignment horizontal="center" vertical="center" wrapText="1"/>
    </xf>
    <xf numFmtId="3" fontId="3" fillId="6" borderId="14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0" fillId="0" borderId="13" xfId="0" applyBorder="1"/>
    <xf numFmtId="0" fontId="12" fillId="0" borderId="0" xfId="0" applyFont="1"/>
    <xf numFmtId="0" fontId="1" fillId="2" borderId="4" xfId="0" applyFont="1" applyFill="1" applyBorder="1" applyAlignment="1">
      <alignment horizontal="center" vertical="center" wrapText="1"/>
    </xf>
    <xf numFmtId="0" fontId="0" fillId="0" borderId="5" xfId="0" applyBorder="1"/>
    <xf numFmtId="0" fontId="7" fillId="0" borderId="1" xfId="0" applyFont="1" applyBorder="1" applyAlignment="1">
      <alignment horizontal="left" vertical="center" wrapText="1"/>
    </xf>
    <xf numFmtId="0" fontId="0" fillId="0" borderId="9" xfId="0" applyBorder="1"/>
    <xf numFmtId="0" fontId="5" fillId="0" borderId="1" xfId="0" applyFont="1" applyBorder="1" applyAlignment="1">
      <alignment horizontal="left" vertical="center" wrapText="1"/>
    </xf>
    <xf numFmtId="0" fontId="0" fillId="0" borderId="1" xfId="0" applyBorder="1"/>
    <xf numFmtId="0" fontId="2" fillId="3" borderId="5" xfId="0" applyFont="1" applyFill="1" applyBorder="1" applyAlignment="1">
      <alignment horizontal="center" vertical="center" wrapText="1"/>
    </xf>
    <xf numFmtId="0" fontId="0" fillId="0" borderId="6" xfId="0" applyBorder="1"/>
    <xf numFmtId="0" fontId="5" fillId="0" borderId="0" xfId="0" applyFont="1" applyAlignment="1">
      <alignment horizontal="center" vertical="center" wrapText="1"/>
    </xf>
    <xf numFmtId="0" fontId="0" fillId="0" borderId="0" xfId="0"/>
    <xf numFmtId="0" fontId="2" fillId="3" borderId="7" xfId="0" applyFont="1" applyFill="1" applyBorder="1" applyAlignment="1">
      <alignment horizontal="center" vertical="center" wrapText="1"/>
    </xf>
    <xf numFmtId="0" fontId="8" fillId="8" borderId="12" xfId="0" applyFont="1" applyFill="1" applyBorder="1" applyAlignment="1">
      <alignment horizontal="left" vertical="center" wrapText="1"/>
    </xf>
    <xf numFmtId="0" fontId="0" fillId="0" borderId="12" xfId="0" applyBorder="1"/>
    <xf numFmtId="0" fontId="0" fillId="0" borderId="15" xfId="0" applyBorder="1"/>
    <xf numFmtId="0" fontId="9" fillId="8" borderId="8" xfId="0" applyFont="1" applyFill="1" applyBorder="1" applyAlignment="1">
      <alignment horizontal="left" vertical="center" wrapText="1"/>
    </xf>
    <xf numFmtId="0" fontId="0" fillId="0" borderId="2" xfId="0" applyBorder="1"/>
    <xf numFmtId="0" fontId="0" fillId="0" borderId="3" xfId="0" applyBorder="1"/>
    <xf numFmtId="0" fontId="2" fillId="7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2</xdr:row>
      <xdr:rowOff>21464</xdr:rowOff>
    </xdr:from>
    <xdr:to>
      <xdr:col>18</xdr:col>
      <xdr:colOff>476250</xdr:colOff>
      <xdr:row>14</xdr:row>
      <xdr:rowOff>169544</xdr:rowOff>
    </xdr:to>
    <xdr:pic macro="[0]!工作表1.ResetCalculator">
      <xdr:nvPicPr>
        <xdr:cNvPr id="3" name="圖片 2">
          <a:extLst>
            <a:ext uri="{FF2B5EF4-FFF2-40B4-BE49-F238E27FC236}">
              <a16:creationId xmlns:a16="http://schemas.microsoft.com/office/drawing/2014/main" id="{96E78BEC-C137-E942-E8B0-CC771D4A4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06625" y="402464"/>
          <a:ext cx="2129790" cy="243027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pageSetUpPr fitToPage="1"/>
  </sheetPr>
  <dimension ref="A1:P33"/>
  <sheetViews>
    <sheetView tabSelected="1" zoomScaleNormal="100" workbookViewId="0">
      <selection activeCell="L2" sqref="L2"/>
    </sheetView>
  </sheetViews>
  <sheetFormatPr defaultRowHeight="15" x14ac:dyDescent="0.3"/>
  <cols>
    <col min="1" max="1" width="16.5" customWidth="1"/>
    <col min="2" max="2" width="17.5" customWidth="1"/>
    <col min="3" max="3" width="12.375" customWidth="1"/>
    <col min="4" max="4" width="20" customWidth="1"/>
    <col min="5" max="5" width="23.375" customWidth="1"/>
    <col min="6" max="6" width="20.375" customWidth="1"/>
    <col min="7" max="7" width="14" customWidth="1"/>
    <col min="8" max="8" width="1.25" customWidth="1"/>
    <col min="11" max="11" width="20" customWidth="1"/>
    <col min="12" max="12" width="21.5" customWidth="1"/>
    <col min="13" max="13" width="20.25" customWidth="1"/>
    <col min="14" max="14" width="30" customWidth="1"/>
  </cols>
  <sheetData>
    <row r="1" spans="1:14" x14ac:dyDescent="0.3">
      <c r="A1" s="31" t="s">
        <v>0</v>
      </c>
      <c r="B1" s="32"/>
      <c r="C1" s="32"/>
      <c r="D1" s="32"/>
      <c r="E1" s="32"/>
      <c r="F1" s="32"/>
      <c r="G1" s="32"/>
      <c r="H1" s="14"/>
      <c r="I1" s="14"/>
      <c r="J1" s="14"/>
      <c r="K1" s="37" t="s">
        <v>1</v>
      </c>
      <c r="L1" s="32"/>
      <c r="M1" s="32"/>
      <c r="N1" s="38"/>
    </row>
    <row r="2" spans="1:14" x14ac:dyDescent="0.3">
      <c r="A2" s="15"/>
      <c r="K2" s="1" t="s">
        <v>2</v>
      </c>
      <c r="L2" s="23">
        <v>42165000</v>
      </c>
      <c r="M2" s="22"/>
      <c r="N2" s="5" t="s">
        <v>38</v>
      </c>
    </row>
    <row r="3" spans="1:14" x14ac:dyDescent="0.3">
      <c r="A3" s="41" t="s">
        <v>3</v>
      </c>
      <c r="B3" s="40"/>
      <c r="C3" s="40"/>
      <c r="D3" s="40"/>
      <c r="E3" s="40"/>
      <c r="F3" s="40"/>
      <c r="G3" s="40"/>
      <c r="K3" s="22"/>
      <c r="L3" s="28"/>
      <c r="M3" s="22"/>
      <c r="N3" s="22"/>
    </row>
    <row r="4" spans="1:14" x14ac:dyDescent="0.3">
      <c r="A4" s="16" t="s">
        <v>4</v>
      </c>
      <c r="B4" s="2" t="s">
        <v>5</v>
      </c>
      <c r="C4" s="2" t="s">
        <v>6</v>
      </c>
      <c r="D4" s="2" t="s">
        <v>40</v>
      </c>
      <c r="E4" s="2" t="s">
        <v>7</v>
      </c>
      <c r="F4" s="2" t="s">
        <v>8</v>
      </c>
      <c r="G4" s="2" t="s">
        <v>9</v>
      </c>
      <c r="K4" s="3" t="s">
        <v>10</v>
      </c>
      <c r="L4" s="24">
        <v>10</v>
      </c>
      <c r="M4" s="4">
        <f>L2*0</f>
        <v>0</v>
      </c>
      <c r="N4" s="5" t="s">
        <v>11</v>
      </c>
    </row>
    <row r="5" spans="1:14" x14ac:dyDescent="0.3">
      <c r="A5" s="17"/>
      <c r="B5" s="6"/>
      <c r="C5" s="6"/>
      <c r="D5" s="7"/>
      <c r="E5" s="6" t="s">
        <v>32</v>
      </c>
      <c r="F5" s="4">
        <f t="shared" ref="F5:F19" si="0">IF(AND(B5&lt;&gt;"", C5&lt;&gt;"", H5&lt;&gt;0), ROUND(B5*C5*H5, 0), 0)</f>
        <v>0</v>
      </c>
      <c r="G5" s="6"/>
      <c r="H5">
        <f t="shared" ref="H5:H19" si="1">IF(D5="", 0, IFERROR(IF(ISNUMBER(FIND("/", D5)), LEFT(D5, FIND("/", D5)-1) / MID(D5, FIND("/", D5)+1, 10), VALUE(SUBSTITUTE(D5, "%", ""))/IF(ISNUMBER(FIND("%", D5)), 100, 1)), 0))</f>
        <v>0</v>
      </c>
      <c r="K5" s="3" t="s">
        <v>12</v>
      </c>
      <c r="L5" s="24">
        <v>15</v>
      </c>
      <c r="M5" s="4">
        <f>L2*0.005</f>
        <v>210825</v>
      </c>
      <c r="N5" s="5" t="s">
        <v>13</v>
      </c>
    </row>
    <row r="6" spans="1:14" x14ac:dyDescent="0.3">
      <c r="A6" s="17"/>
      <c r="B6" s="6"/>
      <c r="C6" s="6"/>
      <c r="D6" s="7"/>
      <c r="E6" s="6" t="s">
        <v>32</v>
      </c>
      <c r="F6" s="4">
        <f t="shared" si="0"/>
        <v>0</v>
      </c>
      <c r="G6" s="6"/>
      <c r="H6">
        <f t="shared" si="1"/>
        <v>0</v>
      </c>
      <c r="K6" s="3" t="s">
        <v>14</v>
      </c>
      <c r="L6" s="24">
        <v>25</v>
      </c>
      <c r="M6" s="4">
        <f>L2*0.065</f>
        <v>2740725</v>
      </c>
      <c r="N6" s="5" t="s">
        <v>15</v>
      </c>
    </row>
    <row r="7" spans="1:14" x14ac:dyDescent="0.3">
      <c r="A7" s="17"/>
      <c r="B7" s="6"/>
      <c r="C7" s="6"/>
      <c r="D7" s="7"/>
      <c r="E7" s="6" t="s">
        <v>32</v>
      </c>
      <c r="F7" s="4">
        <f t="shared" si="0"/>
        <v>0</v>
      </c>
      <c r="G7" s="6"/>
      <c r="H7">
        <f t="shared" si="1"/>
        <v>0</v>
      </c>
      <c r="K7" s="3" t="s">
        <v>16</v>
      </c>
      <c r="L7" s="24">
        <v>35</v>
      </c>
      <c r="M7" s="4">
        <f>L2*0.175</f>
        <v>7378874.9999999991</v>
      </c>
      <c r="N7" s="5" t="s">
        <v>17</v>
      </c>
    </row>
    <row r="8" spans="1:14" x14ac:dyDescent="0.3">
      <c r="A8" s="17"/>
      <c r="B8" s="6"/>
      <c r="C8" s="6"/>
      <c r="D8" s="7"/>
      <c r="E8" s="6" t="s">
        <v>32</v>
      </c>
      <c r="F8" s="4">
        <f t="shared" si="0"/>
        <v>0</v>
      </c>
      <c r="G8" s="6"/>
      <c r="H8">
        <f t="shared" si="1"/>
        <v>0</v>
      </c>
      <c r="K8" s="3" t="s">
        <v>18</v>
      </c>
      <c r="L8" s="24">
        <v>45</v>
      </c>
      <c r="M8" s="4">
        <f>L2*0.335</f>
        <v>14125275</v>
      </c>
      <c r="N8" s="5" t="s">
        <v>19</v>
      </c>
    </row>
    <row r="9" spans="1:14" x14ac:dyDescent="0.3">
      <c r="A9" s="17"/>
      <c r="B9" s="6"/>
      <c r="C9" s="6"/>
      <c r="D9" s="7"/>
      <c r="E9" s="6" t="s">
        <v>32</v>
      </c>
      <c r="F9" s="4">
        <f t="shared" si="0"/>
        <v>0</v>
      </c>
      <c r="G9" s="6"/>
      <c r="H9">
        <f t="shared" si="1"/>
        <v>0</v>
      </c>
      <c r="K9" s="3" t="s">
        <v>20</v>
      </c>
      <c r="L9" s="24">
        <v>55</v>
      </c>
      <c r="M9" s="4">
        <f>L2*0.545</f>
        <v>22979925</v>
      </c>
      <c r="N9" s="5" t="s">
        <v>21</v>
      </c>
    </row>
    <row r="10" spans="1:14" x14ac:dyDescent="0.3">
      <c r="A10" s="17"/>
      <c r="B10" s="6"/>
      <c r="C10" s="6"/>
      <c r="D10" s="7"/>
      <c r="E10" s="6" t="s">
        <v>32</v>
      </c>
      <c r="F10" s="4">
        <f t="shared" si="0"/>
        <v>0</v>
      </c>
      <c r="G10" s="6"/>
      <c r="H10">
        <f t="shared" si="1"/>
        <v>0</v>
      </c>
      <c r="K10" s="22"/>
      <c r="L10" s="28"/>
      <c r="M10" s="22"/>
      <c r="N10" s="22"/>
    </row>
    <row r="11" spans="1:14" x14ac:dyDescent="0.3">
      <c r="A11" s="17"/>
      <c r="B11" s="6"/>
      <c r="C11" s="6"/>
      <c r="D11" s="7"/>
      <c r="E11" s="6" t="s">
        <v>32</v>
      </c>
      <c r="F11" s="4">
        <f t="shared" si="0"/>
        <v>0</v>
      </c>
      <c r="G11" s="6"/>
      <c r="H11">
        <f t="shared" si="1"/>
        <v>0</v>
      </c>
      <c r="K11" s="8" t="s">
        <v>22</v>
      </c>
      <c r="L11" s="24">
        <v>2</v>
      </c>
      <c r="M11" s="35" t="s">
        <v>23</v>
      </c>
      <c r="N11" s="36"/>
    </row>
    <row r="12" spans="1:14" x14ac:dyDescent="0.3">
      <c r="A12" s="17"/>
      <c r="B12" s="6"/>
      <c r="C12" s="6"/>
      <c r="D12" s="7"/>
      <c r="E12" s="6" t="s">
        <v>32</v>
      </c>
      <c r="F12" s="4">
        <f t="shared" si="0"/>
        <v>0</v>
      </c>
      <c r="G12" s="6"/>
      <c r="H12">
        <f t="shared" si="1"/>
        <v>0</v>
      </c>
      <c r="K12" s="8" t="s">
        <v>24</v>
      </c>
      <c r="L12" s="24">
        <v>6</v>
      </c>
      <c r="M12" s="35" t="s">
        <v>23</v>
      </c>
      <c r="N12" s="36"/>
    </row>
    <row r="13" spans="1:14" x14ac:dyDescent="0.3">
      <c r="A13" s="17"/>
      <c r="B13" s="6"/>
      <c r="C13" s="6"/>
      <c r="D13" s="7"/>
      <c r="E13" s="6" t="s">
        <v>32</v>
      </c>
      <c r="F13" s="4">
        <f t="shared" si="0"/>
        <v>0</v>
      </c>
      <c r="G13" s="6"/>
      <c r="H13">
        <f t="shared" si="1"/>
        <v>0</v>
      </c>
      <c r="K13" s="8" t="s">
        <v>25</v>
      </c>
      <c r="L13" s="24">
        <v>10</v>
      </c>
      <c r="M13" s="35" t="s">
        <v>23</v>
      </c>
      <c r="N13" s="36"/>
    </row>
    <row r="14" spans="1:14" x14ac:dyDescent="0.3">
      <c r="A14" s="17"/>
      <c r="B14" s="6"/>
      <c r="C14" s="6"/>
      <c r="D14" s="7"/>
      <c r="E14" s="6" t="s">
        <v>32</v>
      </c>
      <c r="F14" s="4">
        <f t="shared" si="0"/>
        <v>0</v>
      </c>
      <c r="G14" s="6"/>
      <c r="H14">
        <f t="shared" si="1"/>
        <v>0</v>
      </c>
      <c r="K14" s="22"/>
      <c r="L14" s="28"/>
      <c r="N14" s="29"/>
    </row>
    <row r="15" spans="1:14" x14ac:dyDescent="0.3">
      <c r="A15" s="17"/>
      <c r="B15" s="6"/>
      <c r="C15" s="6"/>
      <c r="D15" s="7"/>
      <c r="E15" s="6" t="s">
        <v>32</v>
      </c>
      <c r="F15" s="4">
        <f t="shared" si="0"/>
        <v>0</v>
      </c>
      <c r="G15" s="6"/>
      <c r="H15">
        <f t="shared" si="1"/>
        <v>0</v>
      </c>
      <c r="K15" s="48" t="s">
        <v>26</v>
      </c>
      <c r="L15" s="36"/>
      <c r="M15" s="36"/>
      <c r="N15" s="34"/>
    </row>
    <row r="16" spans="1:14" x14ac:dyDescent="0.3">
      <c r="A16" s="17"/>
      <c r="B16" s="6"/>
      <c r="C16" s="6"/>
      <c r="D16" s="7"/>
      <c r="E16" s="6" t="s">
        <v>32</v>
      </c>
      <c r="F16" s="4">
        <f t="shared" si="0"/>
        <v>0</v>
      </c>
      <c r="G16" s="6"/>
      <c r="H16">
        <f t="shared" si="1"/>
        <v>0</v>
      </c>
      <c r="K16" s="2" t="s">
        <v>27</v>
      </c>
      <c r="L16" s="25" t="s">
        <v>28</v>
      </c>
      <c r="M16" s="49" t="s">
        <v>29</v>
      </c>
      <c r="N16" s="34"/>
    </row>
    <row r="17" spans="1:16" x14ac:dyDescent="0.3">
      <c r="A17" s="17"/>
      <c r="B17" s="6"/>
      <c r="C17" s="6"/>
      <c r="D17" s="7"/>
      <c r="E17" s="6" t="s">
        <v>32</v>
      </c>
      <c r="F17" s="4">
        <f t="shared" si="0"/>
        <v>0</v>
      </c>
      <c r="G17" s="6"/>
      <c r="H17">
        <f t="shared" si="1"/>
        <v>0</v>
      </c>
      <c r="K17" s="8" t="str">
        <f t="shared" ref="K17:K31" si="2">IF(E5="一般土地（累進）", IF(A5="", "地號"&amp;ROW()-16, A5), "")</f>
        <v>地號1</v>
      </c>
      <c r="L17" s="26">
        <f t="shared" ref="L17:L31" si="3">IF(E5="一般土地（累進）", F5, 0)</f>
        <v>0</v>
      </c>
      <c r="M17" s="33" t="str">
        <f t="shared" ref="M17:M31" si="4">IF(L17&gt;0, "+ 已加入累進加總", "")</f>
        <v/>
      </c>
      <c r="N17" s="34"/>
      <c r="P17" s="30"/>
    </row>
    <row r="18" spans="1:16" x14ac:dyDescent="0.3">
      <c r="A18" s="17"/>
      <c r="B18" s="6"/>
      <c r="C18" s="6"/>
      <c r="D18" s="7"/>
      <c r="E18" s="6" t="s">
        <v>32</v>
      </c>
      <c r="F18" s="4">
        <f t="shared" si="0"/>
        <v>0</v>
      </c>
      <c r="G18" s="6"/>
      <c r="H18">
        <f t="shared" si="1"/>
        <v>0</v>
      </c>
      <c r="K18" s="8" t="str">
        <f t="shared" si="2"/>
        <v>地號2</v>
      </c>
      <c r="L18" s="26">
        <f t="shared" si="3"/>
        <v>0</v>
      </c>
      <c r="M18" s="33" t="str">
        <f t="shared" si="4"/>
        <v/>
      </c>
      <c r="N18" s="34"/>
    </row>
    <row r="19" spans="1:16" x14ac:dyDescent="0.3">
      <c r="A19" s="17"/>
      <c r="B19" s="6"/>
      <c r="C19" s="6"/>
      <c r="D19" s="7"/>
      <c r="E19" s="6" t="s">
        <v>32</v>
      </c>
      <c r="F19" s="4">
        <f t="shared" si="0"/>
        <v>0</v>
      </c>
      <c r="G19" s="6"/>
      <c r="H19">
        <f t="shared" si="1"/>
        <v>0</v>
      </c>
      <c r="K19" s="8" t="str">
        <f t="shared" si="2"/>
        <v>地號3</v>
      </c>
      <c r="L19" s="26">
        <f t="shared" si="3"/>
        <v>0</v>
      </c>
      <c r="M19" s="33" t="str">
        <f t="shared" si="4"/>
        <v/>
      </c>
      <c r="N19" s="34"/>
    </row>
    <row r="20" spans="1:16" x14ac:dyDescent="0.3">
      <c r="A20" s="15"/>
      <c r="K20" s="8" t="str">
        <f t="shared" si="2"/>
        <v>地號4</v>
      </c>
      <c r="L20" s="26">
        <f t="shared" si="3"/>
        <v>0</v>
      </c>
      <c r="M20" s="33" t="str">
        <f t="shared" si="4"/>
        <v/>
      </c>
      <c r="N20" s="34"/>
    </row>
    <row r="21" spans="1:16" x14ac:dyDescent="0.3">
      <c r="A21" s="41" t="s">
        <v>30</v>
      </c>
      <c r="B21" s="40"/>
      <c r="C21" s="40"/>
      <c r="D21" s="40"/>
      <c r="E21" s="40"/>
      <c r="F21" s="40"/>
      <c r="G21" s="40"/>
      <c r="K21" s="8" t="str">
        <f t="shared" si="2"/>
        <v>地號5</v>
      </c>
      <c r="L21" s="26">
        <f t="shared" si="3"/>
        <v>0</v>
      </c>
      <c r="M21" s="33" t="str">
        <f t="shared" si="4"/>
        <v/>
      </c>
      <c r="N21" s="34"/>
    </row>
    <row r="22" spans="1:16" x14ac:dyDescent="0.3">
      <c r="A22" s="15"/>
      <c r="K22" s="8" t="str">
        <f t="shared" si="2"/>
        <v>地號6</v>
      </c>
      <c r="L22" s="26">
        <f t="shared" si="3"/>
        <v>0</v>
      </c>
      <c r="M22" s="33" t="str">
        <f t="shared" si="4"/>
        <v/>
      </c>
      <c r="N22" s="34"/>
    </row>
    <row r="23" spans="1:16" x14ac:dyDescent="0.3">
      <c r="A23" s="18" t="s">
        <v>22</v>
      </c>
      <c r="B23" s="4">
        <f>SUMIFS(F5:F19, E5:E19, "自用住宅用地")</f>
        <v>0</v>
      </c>
      <c r="C23" s="9">
        <f>L11</f>
        <v>2</v>
      </c>
      <c r="D23" s="10">
        <f>ROUND(B23*C23/1000, 0)</f>
        <v>0</v>
      </c>
      <c r="E23" s="39" t="s">
        <v>31</v>
      </c>
      <c r="F23" s="40"/>
      <c r="G23" s="40"/>
      <c r="K23" s="8" t="str">
        <f t="shared" si="2"/>
        <v>地號7</v>
      </c>
      <c r="L23" s="26">
        <f t="shared" si="3"/>
        <v>0</v>
      </c>
      <c r="M23" s="33" t="str">
        <f t="shared" si="4"/>
        <v/>
      </c>
      <c r="N23" s="34"/>
    </row>
    <row r="24" spans="1:16" x14ac:dyDescent="0.3">
      <c r="A24" s="18" t="s">
        <v>24</v>
      </c>
      <c r="B24" s="4">
        <f>SUMIFS(F5:F19, E5:E19, "公共設施保留地")</f>
        <v>0</v>
      </c>
      <c r="C24" s="9">
        <f>L12</f>
        <v>6</v>
      </c>
      <c r="D24" s="10">
        <f>ROUND(B24*C24/1000, 0)</f>
        <v>0</v>
      </c>
      <c r="E24" s="39" t="s">
        <v>31</v>
      </c>
      <c r="F24" s="40"/>
      <c r="G24" s="40"/>
      <c r="K24" s="8" t="str">
        <f t="shared" si="2"/>
        <v>地號8</v>
      </c>
      <c r="L24" s="26">
        <f t="shared" si="3"/>
        <v>0</v>
      </c>
      <c r="M24" s="33" t="str">
        <f t="shared" si="4"/>
        <v/>
      </c>
      <c r="N24" s="34"/>
    </row>
    <row r="25" spans="1:16" x14ac:dyDescent="0.3">
      <c r="A25" s="18" t="s">
        <v>25</v>
      </c>
      <c r="B25" s="4">
        <f>SUMIFS(F5:F19, E5:E19, "工業/特殊用地")</f>
        <v>0</v>
      </c>
      <c r="C25" s="9">
        <f>L13</f>
        <v>10</v>
      </c>
      <c r="D25" s="10">
        <f>ROUND(B25*C25/1000, 0)</f>
        <v>0</v>
      </c>
      <c r="E25" s="39" t="s">
        <v>31</v>
      </c>
      <c r="F25" s="40"/>
      <c r="G25" s="40"/>
      <c r="K25" s="8" t="str">
        <f t="shared" si="2"/>
        <v>地號9</v>
      </c>
      <c r="L25" s="26">
        <f t="shared" si="3"/>
        <v>0</v>
      </c>
      <c r="M25" s="33" t="str">
        <f t="shared" si="4"/>
        <v/>
      </c>
      <c r="N25" s="34"/>
    </row>
    <row r="26" spans="1:16" ht="41.4" customHeight="1" x14ac:dyDescent="0.3">
      <c r="A26" s="18" t="s">
        <v>32</v>
      </c>
      <c r="B26" s="4">
        <f>SUMIFS(F5:F19, E5:E19, "一般土地（累進）")</f>
        <v>0</v>
      </c>
      <c r="C26" s="11" t="str">
        <f>IF(B26&lt;=0,"—",IF(B26&lt;=L2,"第1級",IF(B26&lt;=L2*6,"第2級",IF(B26&lt;=L2*11,"第3級",IF(B26&lt;=L2*16,"第4級",IF(B26&lt;=L2*21,"第5級","第6級"))))))</f>
        <v>—</v>
      </c>
      <c r="D26" s="10">
        <f>IF(B26&lt;=0,0,ROUND(IF(B26&lt;=L2,B26*L4/1000-M4,IF(B26&lt;=L2*6,B26*L5/1000-M5,IF(B26&lt;=L2*11,B26*L6/1000-M6,IF(B26&lt;=L2*16,B26*L7/1000-M7,IF(B26&lt;=L2*21,B26*L8/1000-M8,B26*L9/1000-M9))))),0))</f>
        <v>0</v>
      </c>
      <c r="E26" s="39" t="s">
        <v>33</v>
      </c>
      <c r="F26" s="40"/>
      <c r="G26" s="40"/>
      <c r="K26" s="8" t="str">
        <f t="shared" si="2"/>
        <v>地號10</v>
      </c>
      <c r="L26" s="26">
        <f t="shared" si="3"/>
        <v>0</v>
      </c>
      <c r="M26" s="33" t="str">
        <f t="shared" si="4"/>
        <v/>
      </c>
      <c r="N26" s="34"/>
    </row>
    <row r="27" spans="1:16" ht="15.6" x14ac:dyDescent="0.3">
      <c r="A27" s="45" t="s">
        <v>34</v>
      </c>
      <c r="B27" s="46"/>
      <c r="C27" s="47"/>
      <c r="D27" s="12">
        <f>SUM(D23:D26)</f>
        <v>0</v>
      </c>
      <c r="K27" s="8" t="str">
        <f t="shared" si="2"/>
        <v>地號11</v>
      </c>
      <c r="L27" s="26">
        <f t="shared" si="3"/>
        <v>0</v>
      </c>
      <c r="M27" s="33" t="str">
        <f t="shared" si="4"/>
        <v/>
      </c>
      <c r="N27" s="34"/>
    </row>
    <row r="28" spans="1:16" x14ac:dyDescent="0.3">
      <c r="A28" s="15"/>
      <c r="K28" s="8" t="str">
        <f t="shared" si="2"/>
        <v>地號12</v>
      </c>
      <c r="L28" s="26">
        <f t="shared" si="3"/>
        <v>0</v>
      </c>
      <c r="M28" s="33" t="str">
        <f t="shared" si="4"/>
        <v/>
      </c>
      <c r="N28" s="34"/>
    </row>
    <row r="29" spans="1:16" x14ac:dyDescent="0.3">
      <c r="A29" s="15"/>
      <c r="K29" s="8" t="str">
        <f t="shared" si="2"/>
        <v>地號13</v>
      </c>
      <c r="L29" s="26">
        <f t="shared" si="3"/>
        <v>0</v>
      </c>
      <c r="M29" s="33" t="str">
        <f t="shared" si="4"/>
        <v/>
      </c>
      <c r="N29" s="34"/>
    </row>
    <row r="30" spans="1:16" x14ac:dyDescent="0.3">
      <c r="A30" s="15"/>
      <c r="K30" s="8" t="str">
        <f t="shared" si="2"/>
        <v>地號14</v>
      </c>
      <c r="L30" s="26">
        <f t="shared" si="3"/>
        <v>0</v>
      </c>
      <c r="M30" s="33" t="str">
        <f t="shared" si="4"/>
        <v/>
      </c>
      <c r="N30" s="34"/>
    </row>
    <row r="31" spans="1:16" x14ac:dyDescent="0.3">
      <c r="A31" s="15"/>
      <c r="K31" s="8" t="str">
        <f t="shared" si="2"/>
        <v>地號15</v>
      </c>
      <c r="L31" s="26">
        <f t="shared" si="3"/>
        <v>0</v>
      </c>
      <c r="M31" s="33" t="str">
        <f t="shared" si="4"/>
        <v/>
      </c>
      <c r="N31" s="34"/>
    </row>
    <row r="32" spans="1:16" ht="27.6" x14ac:dyDescent="0.3">
      <c r="A32" s="15"/>
      <c r="K32" s="13" t="s">
        <v>35</v>
      </c>
      <c r="L32" s="27">
        <f>SUM(L17:L31)</f>
        <v>0</v>
      </c>
      <c r="M32" s="35" t="s">
        <v>36</v>
      </c>
      <c r="N32" s="34"/>
    </row>
    <row r="33" spans="1:14" ht="28.2" thickBot="1" x14ac:dyDescent="0.35">
      <c r="A33" s="19" t="s">
        <v>39</v>
      </c>
      <c r="B33" s="20"/>
      <c r="C33" s="20"/>
      <c r="D33" s="20"/>
      <c r="E33" s="20"/>
      <c r="F33" s="20"/>
      <c r="G33" s="20"/>
      <c r="H33" s="20"/>
      <c r="I33" s="20"/>
      <c r="J33" s="20"/>
      <c r="K33" s="21" t="s">
        <v>37</v>
      </c>
      <c r="L33" s="42" t="str">
        <f>IF(L32&lt;=0, "尚未輸入一般土地資料", "( " &amp; TEXT(L32,"#,##0") &amp; " × " &amp; IF(L32&lt;=L2, L4, IF(L32&lt;=L2*6, L5, IF(L32&lt;=L2*11, L6, IF(L32&lt;=L2*16, L7, IF(L32&lt;=L2*21, L8, L9))))) &amp; "‰ ) － " &amp; TEXT(IF(L32&lt;=L2, M4, IF(L32&lt;=L2*6, M5, IF(L32&lt;=L2*11, M6, IF(L32&lt;=L2*16, M7, IF(L32&lt;=L2*21, M8, M9))))), "#,##0") &amp; " = " &amp; TEXT(D26, "#,##0") &amp; " 元")</f>
        <v>尚未輸入一般土地資料</v>
      </c>
      <c r="M33" s="43"/>
      <c r="N33" s="44"/>
    </row>
  </sheetData>
  <sheetProtection algorithmName="SHA-512" hashValue="6PHfTFFN9iFNQdBNSF+B68bYEjkRAL3enh4gj9s2Ncu8KgHPXADaSj3Q2RzFpnsbJT5BgKtcPo9uHHcBGZy/0A==" saltValue="NJ93KonO1Q7YWrTggEh2EA==" spinCount="100000" sheet="1" objects="1" scenarios="1" selectLockedCells="1"/>
  <mergeCells count="31">
    <mergeCell ref="L33:N33"/>
    <mergeCell ref="A27:C27"/>
    <mergeCell ref="M11:N11"/>
    <mergeCell ref="M20:N20"/>
    <mergeCell ref="E26:G26"/>
    <mergeCell ref="K15:N15"/>
    <mergeCell ref="M31:N31"/>
    <mergeCell ref="M22:N22"/>
    <mergeCell ref="E25:G25"/>
    <mergeCell ref="M16:N16"/>
    <mergeCell ref="M13:N13"/>
    <mergeCell ref="M30:N30"/>
    <mergeCell ref="M25:N25"/>
    <mergeCell ref="M29:N29"/>
    <mergeCell ref="M32:N32"/>
    <mergeCell ref="A1:G1"/>
    <mergeCell ref="M21:N21"/>
    <mergeCell ref="M12:N12"/>
    <mergeCell ref="M28:N28"/>
    <mergeCell ref="M18:N18"/>
    <mergeCell ref="M27:N27"/>
    <mergeCell ref="K1:N1"/>
    <mergeCell ref="M26:N26"/>
    <mergeCell ref="M17:N17"/>
    <mergeCell ref="M24:N24"/>
    <mergeCell ref="E24:G24"/>
    <mergeCell ref="A3:G3"/>
    <mergeCell ref="M23:N23"/>
    <mergeCell ref="A21:G21"/>
    <mergeCell ref="E23:G23"/>
    <mergeCell ref="M19:N19"/>
  </mergeCells>
  <phoneticPr fontId="11" type="noConversion"/>
  <dataValidations count="1">
    <dataValidation type="list" allowBlank="1" sqref="E5:E19" xr:uid="{00000000-0002-0000-0000-000000000000}">
      <formula1>"自用住宅用地,公共設施保留地,工業/特殊用地,一般土地（累進）"</formula1>
    </dataValidation>
  </dataValidations>
  <pageMargins left="0.75" right="0.75" top="1" bottom="1" header="0.5" footer="0.5"/>
  <pageSetup paperSize="9" scale="6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地價稅計算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znom</cp:lastModifiedBy>
  <cp:lastPrinted>2026-03-25T13:53:30Z</cp:lastPrinted>
  <dcterms:created xsi:type="dcterms:W3CDTF">2026-03-25T13:42:08Z</dcterms:created>
  <dcterms:modified xsi:type="dcterms:W3CDTF">2026-03-25T14:06:30Z</dcterms:modified>
</cp:coreProperties>
</file>